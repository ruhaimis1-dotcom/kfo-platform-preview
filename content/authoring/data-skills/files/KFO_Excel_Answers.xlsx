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d00082c63e4e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cbfcb02d7857423b"/>
    <x:sheet xmlns:r="http://schemas.openxmlformats.org/officeDocument/2006/relationships" name="Summary" sheetId="2" r:id="Reb5e2a24397f4766"/>
    <x:sheet xmlns:r="http://schemas.openxmlformats.org/officeDocument/2006/relationships" name="Sales" sheetId="3" r:id="R7c94af3897bc43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"/>
    <x:numFmt numFmtId="202" formatCode="yyyy-mm-dd"/>
    <x:numFmt numFmtId="203" formatCode="0%"/>
  </x:numFmts>
  <x:fonts count="5">
    <x:font>
      <x:sz val="11"/>
      <x:name val="Carlito"/>
    </x:font>
    <x:font>
      <x:sz val="11"/>
      <x:color rgb="FF14263D"/>
      <x:name val="Arial"/>
    </x:font>
    <x:font>
      <x:b/>
      <x:sz val="16"/>
      <x:color rgb="FF153D3A"/>
      <x:name val="Arial"/>
    </x:font>
    <x:font>
      <x:b/>
      <x:sz val="16"/>
      <x:color rgb="FF14263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3D3A"/>
      </x:patternFill>
    </x:fill>
    <x:fill>
      <x:patternFill patternType="solid">
        <x:fgColor rgb="FFE5F0EC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c2d389f7ca4d0c" /><Relationship Type="http://schemas.openxmlformats.org/officeDocument/2006/relationships/theme" Target="/xl/theme/theme1.xml" Id="Rc203877f64c34e81" /><Relationship Type="http://schemas.openxmlformats.org/officeDocument/2006/relationships/sharedStrings" Target="/xl/sharedStrings.xml" Id="R4b1584a3ff984fcd" /><Relationship Type="http://schemas.openxmlformats.org/officeDocument/2006/relationships/worksheet" Target="/xl/worksheets/sheet1.xml" Id="Rcbfcb02d7857423b" /><Relationship Type="http://schemas.openxmlformats.org/officeDocument/2006/relationships/worksheet" Target="/xl/worksheets/sheet2.xml" Id="Reb5e2a24397f4766" /><Relationship Type="http://schemas.openxmlformats.org/officeDocument/2006/relationships/worksheet" Target="/xl/worksheets/sheet3.xml" Id="R7c94af3897bc43e5" /></Relationships>
</file>

<file path=xl/tables/table1.xml><?xml version="1.0" encoding="utf-8"?>
<x:table xmlns:x="http://schemas.openxmlformats.org/spreadsheetml/2006/main" id="1" name="SalesTraining" displayName="SalesTraining" ref="A1:H25" headerRowCount="1" totalsRowCount="0" totalsRowShown="0">
  <x:tableColumns count="8">
    <x:tableColumn id="1" name="OrderID"/>
    <x:tableColumn id="2" name="OrderDate"/>
    <x:tableColumn id="3" name="BranchName"/>
    <x:tableColumn id="4" name="ProductName"/>
    <x:tableColumn id="5" name="Quantity"/>
    <x:tableColumn id="6" name="UnitPriceSAR"/>
    <x:tableColumn id="7" name="DiscountRate"/>
    <x:tableColumn id="8" name="NetSalesS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ec73e0e13e445a4" /></Relationships>
</file>

<file path=xl/worksheets/sheet1.xml><?xml version="1.0" encoding="utf-8"?>
<x:worksheet xmlns:x="http://schemas.openxmlformats.org/spreadsheetml/2006/main">
  <x:sheetPr>
    <x:tabColor rgb="FF153D3A"/>
  </x:sheetPr>
  <x:sheetViews>
    <x:sheetView showGridLines="0" workbookViewId="0"/>
  </x:sheetViews>
  <x:sheetFormatPr defaultRowHeight="15"/>
  <x:cols>
    <x:col min="1" max="1" width="105" hidden="0" customWidth="1"/>
  </x:cols>
  <x:sheetData>
    <x:row r="1" ht="38" customHeight="1">
      <x:c r="A1" s="4" t="str">
        <x:v>كفو | Excel عملي</x:v>
      </x:c>
      <x:c r="B1" s="2"/>
      <x:c r="C1" s="2"/>
      <x:c r="D1" s="2"/>
      <x:c r="E1" s="2"/>
      <x:c r="F1" s="2"/>
      <x:c r="G1" s="2"/>
      <x:c r="H1" s="2"/>
    </x:row>
    <x:row r="2" ht="38" customHeight="1">
      <x:c r="A2" s="3" t="str">
        <x:v>نسخة الحل: افتحها بعد المحاولة، وافحص الصيغ في شريط الصيغة.</x:v>
      </x:c>
      <x:c r="B2" s="2"/>
      <x:c r="C2" s="2"/>
      <x:c r="D2" s="2"/>
      <x:c r="E2" s="2"/>
      <x:c r="F2" s="2"/>
      <x:c r="G2" s="2"/>
      <x:c r="H2" s="2"/>
    </x:row>
    <x:row r="3" ht="38" customHeight="1">
      <x:c r="A3" s="3" t="str">
        <x:v>الهدف: حساب صافي مبيعات 24 طلباً وتلخيص مبيعات الفروع.</x:v>
      </x:c>
      <x:c r="B3" s="2"/>
      <x:c r="C3" s="2"/>
      <x:c r="D3" s="2"/>
      <x:c r="E3" s="2"/>
      <x:c r="F3" s="2"/>
      <x:c r="G3" s="2"/>
      <x:c r="H3" s="2"/>
    </x:row>
    <x:row r="4" ht="38" customHeight="1">
      <x:c r="A4" s="3" t="str">
        <x:v>1. افتح ورقة Sales. كل صف طلب واحد، ولا توجد طلبات مكررة.</x:v>
      </x:c>
      <x:c r="B4" s="2"/>
      <x:c r="C4" s="2"/>
      <x:c r="D4" s="2"/>
      <x:c r="E4" s="2"/>
      <x:c r="F4" s="2"/>
      <x:c r="G4" s="2"/>
      <x:c r="H4" s="2"/>
    </x:row>
    <x:row r="5" ht="38" customHeight="1">
      <x:c r="A5" s="3" t="str">
        <x:v>2. افحص H2: الصافي = الكمية × سعر الوحدة × (1 − نسبة الخصم).</x:v>
      </x:c>
      <x:c r="B5" s="2"/>
      <x:c r="C5" s="2"/>
      <x:c r="D5" s="2"/>
      <x:c r="E5" s="2"/>
      <x:c r="F5" s="2"/>
      <x:c r="G5" s="2"/>
      <x:c r="H5" s="2"/>
    </x:row>
    <x:row r="6" ht="38" customHeight="1">
      <x:c r="A6" s="3" t="str">
        <x:v>3. اكتب الصيغة نفسها بمراجع الصف الصحيح في H3، ثم اسحبها حتى H25.</x:v>
      </x:c>
      <x:c r="B6" s="2"/>
      <x:c r="C6" s="2"/>
      <x:c r="D6" s="2"/>
      <x:c r="E6" s="2"/>
      <x:c r="F6" s="2"/>
      <x:c r="G6" s="2"/>
      <x:c r="H6" s="2"/>
    </x:row>
    <x:row r="7" ht="38" customHeight="1">
      <x:c r="A7" s="3" t="str">
        <x:v>4. افتح Summary، وأكمل إجمالي المبيعات ومبيعات الرياض وعدد الطلبات والمتوسط.</x:v>
      </x:c>
      <x:c r="B7" s="2"/>
      <x:c r="C7" s="2"/>
      <x:c r="D7" s="2"/>
      <x:c r="E7" s="2"/>
      <x:c r="F7" s="2"/>
      <x:c r="G7" s="2"/>
      <x:c r="H7" s="2"/>
    </x:row>
    <x:row r="8" ht="38" customHeight="1">
      <x:c r="A8" s="3" t="str">
        <x:v>5. استخدم SUM وSUMIFS وCOUNTA، ثم اقسم الإجمالي على عدد الطلبات.</x:v>
      </x:c>
      <x:c r="B8" s="2"/>
      <x:c r="C8" s="2"/>
      <x:c r="D8" s="2"/>
      <x:c r="E8" s="2"/>
      <x:c r="F8" s="2"/>
      <x:c r="G8" s="2"/>
      <x:c r="H8" s="2"/>
    </x:row>
    <x:row r="9" ht="38" customHeight="1">
      <x:c r="A9" s="3" t="str">
        <x:v>6. اكتب النتائج في اختبار الدرس التفاعلي، ثم قارن بنسخة الحل.</x:v>
      </x:c>
      <x:c r="B9" s="2"/>
      <x:c r="C9" s="2"/>
      <x:c r="D9" s="2"/>
      <x:c r="E9" s="2"/>
      <x:c r="F9" s="2"/>
      <x:c r="G9" s="2"/>
      <x:c r="H9" s="2"/>
    </x:row>
    <x:row r="10" ht="38" customHeight="1">
      <x:c r="A10" s="3" t="str">
        <x:v>اختبار فهم: إذا تغيرت كمية الطلب الأول من 3 إلى 4، كم يصبح الصافي؟ أعد 3 بعد التجربة.</x:v>
      </x:c>
      <x:c r="B10" s="2"/>
      <x:c r="C10" s="2"/>
      <x:c r="D10" s="2"/>
      <x:c r="E10" s="2"/>
      <x:c r="F10" s="2"/>
      <x:c r="G10" s="2"/>
      <x:c r="H10" s="2"/>
    </x:row>
    <x:row r="11" ht="38" customHeight="1">
      <x:c r="A11" s="3" t="str">
        <x:v>لون أصفر = موضع عمل المتدرب. لون فاتح = مثال أو نتيجة محسوبة.</x:v>
      </x:c>
      <x:c r="B11" s="2"/>
      <x:c r="C11" s="2"/>
      <x:c r="D11" s="2"/>
      <x:c r="E11" s="2"/>
      <x:c r="F11" s="2"/>
      <x:c r="G11" s="2"/>
      <x:c r="H11" s="2"/>
    </x:row>
    <x:row r="12" ht="38" customHeight="1">
      <x:c r="A12" s="3" t="str">
        <x:v>الأسماء الإنجليزية للأوراق والأعمدة مقصودة لتطابق خطوات التدريب وملفات Power BI.</x:v>
      </x:c>
      <x:c r="B12" s="2"/>
      <x:c r="C12" s="2"/>
      <x:c r="D12" s="2"/>
      <x:c r="E12" s="2"/>
      <x:c r="F12" s="2"/>
      <x:c r="G12" s="2"/>
      <x:c r="H12" s="2"/>
    </x:row>
    <x:row r="13" ht="38" customHeight="1">
      <x:c r="A13" s="3" t="str">
        <x:v>قد تستخدم نسختك الفاصلة المنقوطة ; بدلاً من الفاصلة , بين معاملات الدالة.</x:v>
      </x:c>
      <x:c r="B13" s="2"/>
      <x:c r="C13" s="2"/>
      <x:c r="D13" s="2"/>
      <x:c r="E13" s="2"/>
      <x:c r="F13" s="2"/>
      <x:c r="G13" s="2"/>
      <x:c r="H13" s="2"/>
    </x:row>
    <x:row r="14" ht="38" customHeight="1">
      <x:c r="A14" s="3" t="str">
        <x:v>الأرقام والتواريخ محفوظة بقيمها، وليست نصوصاً منسقة.</x:v>
      </x:c>
      <x:c r="B14" s="2"/>
      <x:c r="C14" s="2"/>
      <x:c r="D14" s="2"/>
      <x:c r="E14" s="2"/>
      <x:c r="F14" s="2"/>
      <x:c r="G14" s="2"/>
      <x:c r="H14" s="2"/>
    </x:row>
    <x:row r="15" ht="38" customHeight="1">
      <x:c r="A15" s="3" t="str">
        <x:v>كل البيانات مصطنعة. المبالغ بالريال السعودي، بعد الخصم فقط.</x:v>
      </x:c>
      <x:c r="B15" s="2"/>
      <x:c r="C15" s="2"/>
      <x:c r="D15" s="2"/>
      <x:c r="E15" s="2"/>
      <x:c r="F15" s="2"/>
      <x:c r="G15" s="2"/>
      <x:c r="H15" s="2"/>
    </x:row>
    <x:row r="16" ht="38" customHeight="1">
      <x:c r="A16" s="3" t="str">
        <x:v>الفترة التدريبية: يناير إلى مارس 2026. لا يتضمن المثال ضرائب أو مرتجعات.</x:v>
      </x:c>
      <x:c r="B16" s="2"/>
      <x:c r="C16" s="2"/>
      <x:c r="D16" s="2"/>
      <x:c r="E16" s="2"/>
      <x:c r="F16" s="2"/>
      <x:c r="G16" s="2"/>
      <x:c r="H16" s="2"/>
    </x:row>
    <x:row r="17" ht="38" customHeight="1">
      <x:c r="A17" s="3" t="str">
        <x:v>لا يحتوي الملف على وحدات ماكرو أو اتصالات ببيانات خارجية.</x:v>
      </x:c>
      <x:c r="B17" s="2"/>
      <x:c r="C17" s="2"/>
      <x:c r="D17" s="2"/>
      <x:c r="E17" s="2"/>
      <x:c r="F17" s="2"/>
      <x:c r="G17" s="2"/>
      <x:c r="H17" s="2"/>
    </x:row>
    <x:row r="18" ht="38" customHeight="1">
      <x:c r="A18" s="3" t="str">
        <x:v>هذا الملف جزء من نموذج درسين. الوحدات الأخرى في خطة الدورة تحتاج تأليفاً مستقلاً.</x:v>
      </x:c>
      <x:c r="B18" s="2"/>
      <x:c r="C18" s="2"/>
      <x:c r="D18" s="2"/>
      <x:c r="E18" s="2"/>
      <x:c r="F18" s="2"/>
      <x:c r="G18" s="2"/>
      <x:c r="H18" s="2"/>
    </x:row>
    <x:row r="19" ht="26" customHeight="1">
      <x:c r="A19" s="2"/>
      <x:c r="B19" s="2"/>
      <x:c r="C19" s="2"/>
      <x:c r="D19" s="2"/>
      <x:c r="E19" s="2"/>
      <x:c r="F19" s="2"/>
      <x:c r="G19" s="2"/>
      <x:c r="H19" s="2"/>
    </x:row>
    <x:row r="20" ht="26" customHeight="1">
      <x:c r="A20" s="2"/>
      <x:c r="B20" s="2"/>
      <x:c r="C20" s="2"/>
      <x:c r="D20" s="2"/>
      <x:c r="E20" s="2"/>
      <x:c r="F20" s="2"/>
      <x:c r="G20" s="2"/>
      <x:c r="H20" s="2"/>
    </x:row>
    <x:row r="21" ht="26" customHeight="1">
      <x:c r="A21" s="2"/>
      <x:c r="B21" s="2"/>
      <x:c r="C21" s="2"/>
      <x:c r="D21" s="2"/>
      <x:c r="E21" s="2"/>
      <x:c r="F21" s="2"/>
      <x:c r="G21" s="2"/>
      <x:c r="H21" s="2"/>
    </x:row>
    <x:row r="22" ht="26" customHeight="1">
      <x:c r="A22" s="2"/>
      <x:c r="B22" s="2"/>
      <x:c r="C22" s="2"/>
      <x:c r="D22" s="2"/>
      <x:c r="E22" s="2"/>
      <x:c r="F22" s="2"/>
      <x:c r="G22" s="2"/>
      <x:c r="H22" s="2"/>
    </x:row>
    <x:row r="23" ht="26" customHeight="1">
      <x:c r="A23" s="2"/>
      <x:c r="B23" s="2"/>
      <x:c r="C23" s="2"/>
      <x:c r="D23" s="2"/>
      <x:c r="E23" s="2"/>
      <x:c r="F23" s="2"/>
      <x:c r="G23" s="2"/>
      <x:c r="H23" s="2"/>
    </x:row>
    <x:row r="24" ht="26" customHeight="1">
      <x:c r="A24" s="2"/>
      <x:c r="B24" s="2"/>
      <x:c r="C24" s="2"/>
      <x:c r="D24" s="2"/>
      <x:c r="E24" s="2"/>
      <x:c r="F24" s="2"/>
      <x:c r="G24" s="2"/>
      <x:c r="H24" s="2"/>
    </x:row>
    <x:row r="25" ht="26" customHeight="1">
      <x:c r="A25" s="2"/>
      <x:c r="B25" s="2"/>
      <x:c r="C25" s="2"/>
      <x:c r="D25" s="2"/>
      <x:c r="E25" s="2"/>
      <x:c r="F25" s="2"/>
      <x:c r="G25" s="2"/>
      <x:c r="H25" s="2"/>
    </x:row>
    <x:row r="26" ht="26" customHeight="1">
      <x:c r="A26" s="2"/>
      <x:c r="B26" s="2"/>
      <x:c r="C26" s="2"/>
      <x:c r="D26" s="2"/>
      <x:c r="E26" s="2"/>
      <x:c r="F26" s="2"/>
      <x:c r="G26" s="2"/>
      <x:c r="H26" s="2"/>
    </x:row>
    <x:row r="27" ht="26" customHeight="1">
      <x:c r="A27" s="2"/>
      <x:c r="B27" s="2"/>
      <x:c r="C27" s="2"/>
      <x:c r="D27" s="2"/>
      <x:c r="E27" s="2"/>
      <x:c r="F27" s="2"/>
      <x:c r="G27" s="2"/>
      <x:c r="H27" s="2"/>
    </x:row>
    <x:row r="28" ht="26" customHeight="1">
      <x:c r="A28" s="2"/>
      <x:c r="B28" s="2"/>
      <x:c r="C28" s="2"/>
      <x:c r="D28" s="2"/>
      <x:c r="E28" s="2"/>
      <x:c r="F28" s="2"/>
      <x:c r="G28" s="2"/>
      <x:c r="H28" s="2"/>
    </x:row>
    <x:row r="29" ht="26" customHeight="1">
      <x:c r="A29" s="2"/>
      <x:c r="B29" s="2"/>
      <x:c r="C29" s="2"/>
      <x:c r="D29" s="2"/>
      <x:c r="E29" s="2"/>
      <x:c r="F29" s="2"/>
      <x:c r="G29" s="2"/>
      <x:c r="H29" s="2"/>
    </x:row>
    <x:row r="30" ht="26" customHeight="1">
      <x:c r="A30" s="2"/>
      <x:c r="B30" s="2"/>
      <x:c r="C30" s="2"/>
      <x:c r="D30" s="2"/>
      <x:c r="E30" s="2"/>
      <x:c r="F30" s="2"/>
      <x:c r="G30" s="2"/>
      <x:c r="H30" s="2"/>
    </x:row>
    <x:row r="31" ht="26" customHeight="1">
      <x:c r="A31" s="2"/>
      <x:c r="B31" s="2"/>
      <x:c r="C31" s="2"/>
      <x:c r="D31" s="2"/>
      <x:c r="E31" s="2"/>
      <x:c r="F31" s="2"/>
      <x:c r="G31" s="2"/>
      <x:c r="H31" s="2"/>
    </x:row>
    <x:row r="32" ht="26" customHeight="1">
      <x:c r="A32" s="2"/>
      <x:c r="B32" s="2"/>
      <x:c r="C32" s="2"/>
      <x:c r="D32" s="2"/>
      <x:c r="E32" s="2"/>
      <x:c r="F32" s="2"/>
      <x:c r="G32" s="2"/>
      <x:c r="H32" s="2"/>
    </x:row>
    <x:row r="33" ht="26" customHeight="1">
      <x:c r="A33" s="2"/>
      <x:c r="B33" s="2"/>
      <x:c r="C33" s="2"/>
      <x:c r="D33" s="2"/>
      <x:c r="E33" s="2"/>
      <x:c r="F33" s="2"/>
      <x:c r="G33" s="2"/>
      <x:c r="H33" s="2"/>
    </x:row>
    <x:row r="34" ht="26" customHeight="1">
      <x:c r="A34" s="2"/>
      <x:c r="B34" s="2"/>
      <x:c r="C34" s="2"/>
      <x:c r="D34" s="2"/>
      <x:c r="E34" s="2"/>
      <x:c r="F34" s="2"/>
      <x:c r="G34" s="2"/>
      <x:c r="H34" s="2"/>
    </x:row>
    <x:row r="35" ht="26" customHeight="1">
      <x:c r="A35" s="2"/>
      <x:c r="B35" s="2"/>
      <x:c r="C35" s="2"/>
      <x:c r="D35" s="2"/>
      <x:c r="E35" s="2"/>
      <x:c r="F35" s="2"/>
      <x:c r="G35" s="2"/>
      <x:c r="H3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  <x:col min="3" max="3" width="58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</x:row>
    <x:row r="2" ht="26" customHeight="1">
      <x:c r="A2" s="5" t="str">
        <x:v>ملخص المبيعات</x:v>
      </x:c>
      <x:c r="B2" s="2"/>
      <x:c r="C2" s="2"/>
      <x:c r="D2" s="2"/>
      <x:c r="E2" s="2"/>
      <x:c r="F2" s="2"/>
      <x:c r="G2" s="2"/>
      <x:c r="H2" s="2"/>
    </x:row>
    <x:row r="3" ht="26" customHeight="1">
      <x:c r="A3" s="2"/>
      <x:c r="B3" s="2"/>
      <x:c r="C3" s="2"/>
      <x:c r="D3" s="2"/>
      <x:c r="E3" s="2"/>
      <x:c r="F3" s="2"/>
      <x:c r="G3" s="2"/>
      <x:c r="H3" s="2"/>
    </x:row>
    <x:row r="4" ht="28" customHeight="1">
      <x:c r="A4" s="7" t="str">
        <x:v>المؤشر</x:v>
      </x:c>
      <x:c r="B4" s="7" t="str">
        <x:v>القيمة</x:v>
      </x:c>
      <x:c r="C4" s="7" t="str">
        <x:v>المطلوب</x:v>
      </x:c>
      <x:c r="D4" s="2"/>
      <x:c r="E4" s="2"/>
      <x:c r="F4" s="2"/>
      <x:c r="G4" s="2"/>
      <x:c r="H4" s="2"/>
    </x:row>
    <x:row r="5" ht="26" customHeight="1">
      <x:c r="A5" s="2" t="str">
        <x:v>إجمالي صافي المبيعات (SAR)</x:v>
      </x:c>
      <x:c r="B5" s="9" t="n">
        <x:f>SUM('Sales'!H2:H25)</x:f>
        <x:v>29828</x:v>
      </x:c>
      <x:c r="C5" s="2" t="str">
        <x:v>اجمع H2:H25 من Sales باستخدام SUM.</x:v>
      </x:c>
      <x:c r="D5" s="2"/>
      <x:c r="E5" s="2"/>
      <x:c r="F5" s="2"/>
      <x:c r="G5" s="2"/>
      <x:c r="H5" s="2"/>
    </x:row>
    <x:row r="6" ht="26" customHeight="1">
      <x:c r="A6" s="2" t="str">
        <x:v>صافي مبيعات الرياض (SAR)</x:v>
      </x:c>
      <x:c r="B6" s="9" t="n">
        <x:f>SUMIFS('Sales'!H2:H25,'Sales'!C2:C25,"الرياض")</x:f>
        <x:v>9028</x:v>
      </x:c>
      <x:c r="C6" s="2" t="str">
        <x:v>استخدم SUMIFS: اجمع الصافي عندما يكون الفرع الرياض.</x:v>
      </x:c>
      <x:c r="D6" s="2"/>
      <x:c r="E6" s="2"/>
      <x:c r="F6" s="2"/>
      <x:c r="G6" s="2"/>
      <x:c r="H6" s="2"/>
    </x:row>
    <x:row r="7" ht="26" customHeight="1">
      <x:c r="A7" s="2" t="str">
        <x:v>عدد الطلبات</x:v>
      </x:c>
      <x:c r="B7" s="10" t="n">
        <x:f>COUNTA('Sales'!A2:A25)</x:f>
        <x:v>24</x:v>
      </x:c>
      <x:c r="C7" s="2" t="str">
        <x:v>استخدم COUNTA على معرفات الطلبات في A2:A25.</x:v>
      </x:c>
      <x:c r="D7" s="2"/>
      <x:c r="E7" s="2"/>
      <x:c r="F7" s="2"/>
      <x:c r="G7" s="2"/>
      <x:c r="H7" s="2"/>
    </x:row>
    <x:row r="8" ht="26" customHeight="1">
      <x:c r="A8" s="2" t="str">
        <x:v>متوسط قيمة الطلب (SAR)</x:v>
      </x:c>
      <x:c r="B8" s="9" t="n">
        <x:f>B5/B7</x:f>
        <x:v>1242.8333333333333</x:v>
      </x:c>
      <x:c r="C8" s="2" t="str">
        <x:v>اقسم إجمالي صافي المبيعات على عدد الطلبات.</x:v>
      </x:c>
      <x:c r="D8" s="2"/>
      <x:c r="E8" s="2"/>
      <x:c r="F8" s="2"/>
      <x:c r="G8" s="2"/>
      <x:c r="H8" s="2"/>
    </x:row>
    <x:row r="9" ht="26" customHeight="1">
      <x:c r="A9" s="2"/>
      <x:c r="B9" s="2"/>
      <x:c r="C9" s="2"/>
      <x:c r="D9" s="2"/>
      <x:c r="E9" s="2"/>
      <x:c r="F9" s="2"/>
      <x:c r="G9" s="2"/>
      <x:c r="H9" s="2"/>
    </x:row>
    <x:row r="10" ht="26" customHeight="1">
      <x:c r="A10" s="2"/>
      <x:c r="B10" s="2"/>
      <x:c r="C10" s="2"/>
      <x:c r="D10" s="2"/>
      <x:c r="E10" s="2"/>
      <x:c r="F10" s="2"/>
      <x:c r="G10" s="2"/>
      <x:c r="H10" s="2"/>
    </x:row>
    <x:row r="11" ht="26" customHeight="1">
      <x:c r="A11" s="2" t="str">
        <x:v>خطوة إضافية</x:v>
      </x:c>
      <x:c r="B11" s="2"/>
      <x:c r="C11" s="2"/>
      <x:c r="D11" s="2"/>
      <x:c r="E11" s="2"/>
      <x:c r="F11" s="2"/>
      <x:c r="G11" s="2"/>
      <x:c r="H11" s="2"/>
    </x:row>
    <x:row r="12" ht="26" customHeight="1">
      <x:c r="A12" s="2" t="str">
        <x:v>تصفية الرياض</x:v>
      </x:c>
      <x:c r="B12" s="2" t="str">
        <x:v>8 طلبات</x:v>
      </x:c>
      <x:c r="C12" s="2" t="str">
        <x:v>صفِّ جدول Sales على BranchName = الرياض.</x:v>
      </x:c>
      <x:c r="D12" s="2"/>
      <x:c r="E12" s="2"/>
      <x:c r="F12" s="2"/>
      <x:c r="G12" s="2"/>
      <x:c r="H12" s="2"/>
    </x:row>
    <x:row r="13" ht="26" customHeight="1">
      <x:c r="A13" s="2"/>
      <x:c r="B13" s="2"/>
      <x:c r="C13" s="2"/>
      <x:c r="D13" s="2"/>
      <x:c r="E13" s="2"/>
      <x:c r="F13" s="2"/>
      <x:c r="G13" s="2"/>
      <x:c r="H13" s="2"/>
    </x:row>
    <x:row r="14" ht="26" customHeight="1">
      <x:c r="A14" s="2" t="str">
        <x:v>ملاحظة</x:v>
      </x:c>
      <x:c r="B14" s="2" t="str"/>
      <x:c r="C14" s="2" t="str">
        <x:v>تغيير التصفية لا يغيّر SUM. سنشرح SUBTOTAL في وحدة لاحقة.</x:v>
      </x:c>
      <x:c r="D14" s="2"/>
      <x:c r="E14" s="2"/>
      <x:c r="F14" s="2"/>
      <x:c r="G14" s="2"/>
      <x:c r="H14" s="2"/>
    </x:row>
    <x:row r="15" ht="26" customHeight="1">
      <x:c r="A15" s="2"/>
      <x:c r="B15" s="2"/>
      <x:c r="C15" s="2"/>
      <x:c r="D15" s="2"/>
      <x:c r="E15" s="2"/>
      <x:c r="F15" s="2"/>
      <x:c r="G15" s="2"/>
      <x:c r="H15" s="2"/>
    </x:row>
    <x:row r="16" ht="26" customHeight="1">
      <x:c r="A16" s="2"/>
      <x:c r="B16" s="2"/>
      <x:c r="C16" s="2"/>
      <x:c r="D16" s="2"/>
      <x:c r="E16" s="2"/>
      <x:c r="F16" s="2"/>
      <x:c r="G16" s="2"/>
      <x:c r="H16" s="2"/>
    </x:row>
    <x:row r="17" ht="26" customHeight="1">
      <x:c r="A17" s="2"/>
      <x:c r="B17" s="2"/>
      <x:c r="C17" s="2"/>
      <x:c r="D17" s="2"/>
      <x:c r="E17" s="2"/>
      <x:c r="F17" s="2"/>
      <x:c r="G17" s="2"/>
      <x:c r="H17" s="2"/>
    </x:row>
    <x:row r="18" ht="26" customHeight="1">
      <x:c r="A18" s="2"/>
      <x:c r="B18" s="2"/>
      <x:c r="C18" s="2"/>
      <x:c r="D18" s="2"/>
      <x:c r="E18" s="2"/>
      <x:c r="F18" s="2"/>
      <x:c r="G18" s="2"/>
      <x:c r="H18" s="2"/>
    </x:row>
    <x:row r="19" ht="26" customHeight="1">
      <x:c r="A19" s="2"/>
      <x:c r="B19" s="2"/>
      <x:c r="C19" s="2"/>
      <x:c r="D19" s="2"/>
      <x:c r="E19" s="2"/>
      <x:c r="F19" s="2"/>
      <x:c r="G19" s="2"/>
      <x:c r="H19" s="2"/>
    </x:row>
    <x:row r="20" ht="26" customHeight="1">
      <x:c r="A20" s="2"/>
      <x:c r="B20" s="2"/>
      <x:c r="C20" s="2"/>
      <x:c r="D20" s="2"/>
      <x:c r="E20" s="2"/>
      <x:c r="F20" s="2"/>
      <x:c r="G20" s="2"/>
      <x:c r="H20" s="2"/>
    </x:row>
    <x:row r="21" ht="26" customHeight="1">
      <x:c r="A21" s="2"/>
      <x:c r="B21" s="2"/>
      <x:c r="C21" s="2"/>
      <x:c r="D21" s="2"/>
      <x:c r="E21" s="2"/>
      <x:c r="F21" s="2"/>
      <x:c r="G21" s="2"/>
      <x:c r="H21" s="2"/>
    </x:row>
    <x:row r="22" ht="26" customHeight="1">
      <x:c r="A22" s="2"/>
      <x:c r="B22" s="2"/>
      <x:c r="C22" s="2"/>
      <x:c r="D22" s="2"/>
      <x:c r="E22" s="2"/>
      <x:c r="F22" s="2"/>
      <x:c r="G22" s="2"/>
      <x:c r="H22" s="2"/>
    </x:row>
    <x:row r="23" ht="26" customHeight="1">
      <x:c r="A23" s="2"/>
      <x:c r="B23" s="2"/>
      <x:c r="C23" s="2"/>
      <x:c r="D23" s="2"/>
      <x:c r="E23" s="2"/>
      <x:c r="F23" s="2"/>
      <x:c r="G23" s="2"/>
      <x:c r="H23" s="2"/>
    </x:row>
    <x:row r="24" ht="26" customHeight="1">
      <x:c r="A24" s="2"/>
      <x:c r="B24" s="2"/>
      <x:c r="C24" s="2"/>
      <x:c r="D24" s="2"/>
      <x:c r="E24" s="2"/>
      <x:c r="F24" s="2"/>
      <x:c r="G24" s="2"/>
      <x:c r="H24" s="2"/>
    </x:row>
    <x:row r="25" ht="26" customHeight="1">
      <x:c r="A25" s="2"/>
      <x:c r="B25" s="2"/>
      <x:c r="C25" s="2"/>
      <x:c r="D25" s="2"/>
      <x:c r="E25" s="2"/>
      <x:c r="F25" s="2"/>
      <x:c r="G25" s="2"/>
      <x:c r="H25" s="2"/>
    </x:row>
    <x:row r="26" ht="26" customHeight="1">
      <x:c r="A26" s="2"/>
      <x:c r="B26" s="2"/>
      <x:c r="C26" s="2"/>
      <x:c r="D26" s="2"/>
      <x:c r="E26" s="2"/>
      <x:c r="F26" s="2"/>
      <x:c r="G26" s="2"/>
      <x:c r="H26" s="2"/>
    </x:row>
    <x:row r="27" ht="26" customHeight="1">
      <x:c r="A27" s="2"/>
      <x:c r="B27" s="2"/>
      <x:c r="C27" s="2"/>
      <x:c r="D27" s="2"/>
      <x:c r="E27" s="2"/>
      <x:c r="F27" s="2"/>
      <x:c r="G27" s="2"/>
      <x:c r="H27" s="2"/>
    </x:row>
    <x:row r="28" ht="26" customHeight="1">
      <x:c r="A28" s="2"/>
      <x:c r="B28" s="2"/>
      <x:c r="C28" s="2"/>
      <x:c r="D28" s="2"/>
      <x:c r="E28" s="2"/>
      <x:c r="F28" s="2"/>
      <x:c r="G28" s="2"/>
      <x:c r="H28" s="2"/>
    </x:row>
    <x:row r="29" ht="26" customHeight="1">
      <x:c r="A29" s="2"/>
      <x:c r="B29" s="2"/>
      <x:c r="C29" s="2"/>
      <x:c r="D29" s="2"/>
      <x:c r="E29" s="2"/>
      <x:c r="F29" s="2"/>
      <x:c r="G29" s="2"/>
      <x:c r="H29" s="2"/>
    </x:row>
    <x:row r="30" ht="26" customHeight="1">
      <x:c r="A30" s="2"/>
      <x:c r="B30" s="2"/>
      <x:c r="C30" s="2"/>
      <x:c r="D30" s="2"/>
      <x:c r="E30" s="2"/>
      <x:c r="F30" s="2"/>
      <x:c r="G30" s="2"/>
      <x:c r="H30" s="2"/>
    </x:row>
    <x:row r="31" ht="26" customHeight="1">
      <x:c r="A31" s="2"/>
      <x:c r="B31" s="2"/>
      <x:c r="C31" s="2"/>
      <x:c r="D31" s="2"/>
      <x:c r="E31" s="2"/>
      <x:c r="F31" s="2"/>
      <x:c r="G31" s="2"/>
      <x:c r="H31" s="2"/>
    </x:row>
    <x:row r="32" ht="26" customHeight="1">
      <x:c r="A32" s="2"/>
      <x:c r="B32" s="2"/>
      <x:c r="C32" s="2"/>
      <x:c r="D32" s="2"/>
      <x:c r="E32" s="2"/>
      <x:c r="F32" s="2"/>
      <x:c r="G32" s="2"/>
      <x:c r="H32" s="2"/>
    </x:row>
    <x:row r="33" ht="26" customHeight="1">
      <x:c r="A33" s="2"/>
      <x:c r="B33" s="2"/>
      <x:c r="C33" s="2"/>
      <x:c r="D33" s="2"/>
      <x:c r="E33" s="2"/>
      <x:c r="F33" s="2"/>
      <x:c r="G33" s="2"/>
      <x:c r="H33" s="2"/>
    </x:row>
    <x:row r="34" ht="26" customHeight="1">
      <x:c r="A34" s="2"/>
      <x:c r="B34" s="2"/>
      <x:c r="C34" s="2"/>
      <x:c r="D34" s="2"/>
      <x:c r="E34" s="2"/>
      <x:c r="F34" s="2"/>
      <x:c r="G34" s="2"/>
      <x:c r="H34" s="2"/>
    </x:row>
    <x:row r="35" ht="26" customHeight="1">
      <x:c r="A35" s="2"/>
      <x:c r="B35" s="2"/>
      <x:c r="C35" s="2"/>
      <x:c r="D35" s="2"/>
      <x:c r="E35" s="2"/>
      <x:c r="F35" s="2"/>
      <x:c r="G35" s="2"/>
      <x:c r="H3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11" t="str">
        <x:v>OrderID</x:v>
      </x:c>
      <x:c r="B1" s="11" t="str">
        <x:v>OrderDate</x:v>
      </x:c>
      <x:c r="C1" s="11" t="str">
        <x:v>BranchName</x:v>
      </x:c>
      <x:c r="D1" s="11" t="str">
        <x:v>ProductName</x:v>
      </x:c>
      <x:c r="E1" s="11" t="str">
        <x:v>Quantity</x:v>
      </x:c>
      <x:c r="F1" s="11" t="str">
        <x:v>UnitPriceSAR</x:v>
      </x:c>
      <x:c r="G1" s="11" t="str">
        <x:v>DiscountRate</x:v>
      </x:c>
      <x:c r="H1" s="11" t="str">
        <x:v>NetSalesSAR</x:v>
      </x:c>
    </x:row>
    <x:row r="2" ht="26" customHeight="1">
      <x:c r="A2" s="2" t="str">
        <x:v>KFO-001</x:v>
      </x:c>
      <x:c r="B2" s="12" t="n">
        <x:v>46024</x:v>
      </x:c>
      <x:c r="C2" s="2" t="str">
        <x:v>الرياض</x:v>
      </x:c>
      <x:c r="D2" s="2" t="str">
        <x:v>طاولة مكتبية</x:v>
      </x:c>
      <x:c r="E2" s="13" t="n">
        <x:v>3</x:v>
      </x:c>
      <x:c r="F2" s="14" t="n">
        <x:v>250</x:v>
      </x:c>
      <x:c r="G2" s="15" t="n">
        <x:v>0.1</x:v>
      </x:c>
      <x:c r="H2" s="9" t="n">
        <x:f>E2*F2*(1-G2)</x:f>
        <x:v>675</x:v>
      </x:c>
    </x:row>
    <x:row r="3" ht="26" customHeight="1">
      <x:c r="A3" s="2" t="str">
        <x:v>KFO-002</x:v>
      </x:c>
      <x:c r="B3" s="12" t="n">
        <x:v>46027</x:v>
      </x:c>
      <x:c r="C3" s="2" t="str">
        <x:v>جدة</x:v>
      </x:c>
      <x:c r="D3" s="2" t="str">
        <x:v>لوحة مفاتيح</x:v>
      </x:c>
      <x:c r="E3" s="13" t="n">
        <x:v>2</x:v>
      </x:c>
      <x:c r="F3" s="14" t="n">
        <x:v>120</x:v>
      </x:c>
      <x:c r="G3" s="15" t="n">
        <x:v>0.05</x:v>
      </x:c>
      <x:c r="H3" s="9" t="n">
        <x:f>E3*F3*(1-G3)</x:f>
        <x:v>228</x:v>
      </x:c>
    </x:row>
    <x:row r="4" ht="26" customHeight="1">
      <x:c r="A4" s="2" t="str">
        <x:v>KFO-003</x:v>
      </x:c>
      <x:c r="B4" s="12" t="n">
        <x:v>46030</x:v>
      </x:c>
      <x:c r="C4" s="2" t="str">
        <x:v>الدمام</x:v>
      </x:c>
      <x:c r="D4" s="2" t="str">
        <x:v>شاشة</x:v>
      </x:c>
      <x:c r="E4" s="13" t="n">
        <x:v>3</x:v>
      </x:c>
      <x:c r="F4" s="14" t="n">
        <x:v>480</x:v>
      </x:c>
      <x:c r="G4" s="15" t="n">
        <x:v>0</x:v>
      </x:c>
      <x:c r="H4" s="9" t="n">
        <x:f>E4*F4*(1-G4)</x:f>
        <x:v>1440</x:v>
      </x:c>
    </x:row>
    <x:row r="5" ht="26" customHeight="1">
      <x:c r="A5" s="2" t="str">
        <x:v>KFO-004</x:v>
      </x:c>
      <x:c r="B5" s="12" t="n">
        <x:v>46033</x:v>
      </x:c>
      <x:c r="C5" s="2" t="str">
        <x:v>الرياض</x:v>
      </x:c>
      <x:c r="D5" s="2" t="str">
        <x:v>طابعة</x:v>
      </x:c>
      <x:c r="E5" s="13" t="n">
        <x:v>4</x:v>
      </x:c>
      <x:c r="F5" s="14" t="n">
        <x:v>800</x:v>
      </x:c>
      <x:c r="G5" s="15" t="n">
        <x:v>0</x:v>
      </x:c>
      <x:c r="H5" s="9" t="n">
        <x:f>E5*F5*(1-G5)</x:f>
        <x:v>3200</x:v>
      </x:c>
    </x:row>
    <x:row r="6" ht="26" customHeight="1">
      <x:c r="A6" s="2" t="str">
        <x:v>KFO-005</x:v>
      </x:c>
      <x:c r="B6" s="12" t="n">
        <x:v>46036</x:v>
      </x:c>
      <x:c r="C6" s="2" t="str">
        <x:v>جدة</x:v>
      </x:c>
      <x:c r="D6" s="2" t="str">
        <x:v>طاولة مكتبية</x:v>
      </x:c>
      <x:c r="E6" s="13" t="n">
        <x:v>5</x:v>
      </x:c>
      <x:c r="F6" s="14" t="n">
        <x:v>250</x:v>
      </x:c>
      <x:c r="G6" s="15" t="n">
        <x:v>0.1</x:v>
      </x:c>
      <x:c r="H6" s="9" t="n">
        <x:f>E6*F6*(1-G6)</x:f>
        <x:v>1125</x:v>
      </x:c>
    </x:row>
    <x:row r="7" ht="26" customHeight="1">
      <x:c r="A7" s="2" t="str">
        <x:v>KFO-006</x:v>
      </x:c>
      <x:c r="B7" s="12" t="n">
        <x:v>46039</x:v>
      </x:c>
      <x:c r="C7" s="2" t="str">
        <x:v>الدمام</x:v>
      </x:c>
      <x:c r="D7" s="2" t="str">
        <x:v>لوحة مفاتيح</x:v>
      </x:c>
      <x:c r="E7" s="13" t="n">
        <x:v>1</x:v>
      </x:c>
      <x:c r="F7" s="14" t="n">
        <x:v>120</x:v>
      </x:c>
      <x:c r="G7" s="15" t="n">
        <x:v>0.05</x:v>
      </x:c>
      <x:c r="H7" s="9" t="n">
        <x:f>E7*F7*(1-G7)</x:f>
        <x:v>114</x:v>
      </x:c>
    </x:row>
    <x:row r="8" ht="26" customHeight="1">
      <x:c r="A8" s="2" t="str">
        <x:v>KFO-007</x:v>
      </x:c>
      <x:c r="B8" s="12" t="n">
        <x:v>46042</x:v>
      </x:c>
      <x:c r="C8" s="2" t="str">
        <x:v>الرياض</x:v>
      </x:c>
      <x:c r="D8" s="2" t="str">
        <x:v>شاشة</x:v>
      </x:c>
      <x:c r="E8" s="13" t="n">
        <x:v>2</x:v>
      </x:c>
      <x:c r="F8" s="14" t="n">
        <x:v>480</x:v>
      </x:c>
      <x:c r="G8" s="15" t="n">
        <x:v>0</x:v>
      </x:c>
      <x:c r="H8" s="9" t="n">
        <x:f>E8*F8*(1-G8)</x:f>
        <x:v>960</x:v>
      </x:c>
    </x:row>
    <x:row r="9" ht="26" customHeight="1">
      <x:c r="A9" s="2" t="str">
        <x:v>KFO-008</x:v>
      </x:c>
      <x:c r="B9" s="12" t="n">
        <x:v>46045</x:v>
      </x:c>
      <x:c r="C9" s="2" t="str">
        <x:v>جدة</x:v>
      </x:c>
      <x:c r="D9" s="2" t="str">
        <x:v>طابعة</x:v>
      </x:c>
      <x:c r="E9" s="13" t="n">
        <x:v>3</x:v>
      </x:c>
      <x:c r="F9" s="14" t="n">
        <x:v>800</x:v>
      </x:c>
      <x:c r="G9" s="15" t="n">
        <x:v>0</x:v>
      </x:c>
      <x:c r="H9" s="9" t="n">
        <x:f>E9*F9*(1-G9)</x:f>
        <x:v>2400</x:v>
      </x:c>
    </x:row>
    <x:row r="10" ht="26" customHeight="1">
      <x:c r="A10" s="2" t="str">
        <x:v>KFO-009</x:v>
      </x:c>
      <x:c r="B10" s="12" t="n">
        <x:v>46055</x:v>
      </x:c>
      <x:c r="C10" s="2" t="str">
        <x:v>الدمام</x:v>
      </x:c>
      <x:c r="D10" s="2" t="str">
        <x:v>طاولة مكتبية</x:v>
      </x:c>
      <x:c r="E10" s="13" t="n">
        <x:v>4</x:v>
      </x:c>
      <x:c r="F10" s="14" t="n">
        <x:v>250</x:v>
      </x:c>
      <x:c r="G10" s="15" t="n">
        <x:v>0.1</x:v>
      </x:c>
      <x:c r="H10" s="9" t="n">
        <x:f>E10*F10*(1-G10)</x:f>
        <x:v>900</x:v>
      </x:c>
    </x:row>
    <x:row r="11" ht="26" customHeight="1">
      <x:c r="A11" s="2" t="str">
        <x:v>KFO-010</x:v>
      </x:c>
      <x:c r="B11" s="12" t="n">
        <x:v>46058</x:v>
      </x:c>
      <x:c r="C11" s="2" t="str">
        <x:v>الرياض</x:v>
      </x:c>
      <x:c r="D11" s="2" t="str">
        <x:v>لوحة مفاتيح</x:v>
      </x:c>
      <x:c r="E11" s="13" t="n">
        <x:v>5</x:v>
      </x:c>
      <x:c r="F11" s="14" t="n">
        <x:v>120</x:v>
      </x:c>
      <x:c r="G11" s="15" t="n">
        <x:v>0.05</x:v>
      </x:c>
      <x:c r="H11" s="9" t="n">
        <x:f>E11*F11*(1-G11)</x:f>
        <x:v>570</x:v>
      </x:c>
    </x:row>
    <x:row r="12" ht="26" customHeight="1">
      <x:c r="A12" s="2" t="str">
        <x:v>KFO-011</x:v>
      </x:c>
      <x:c r="B12" s="12" t="n">
        <x:v>46061</x:v>
      </x:c>
      <x:c r="C12" s="2" t="str">
        <x:v>جدة</x:v>
      </x:c>
      <x:c r="D12" s="2" t="str">
        <x:v>شاشة</x:v>
      </x:c>
      <x:c r="E12" s="13" t="n">
        <x:v>1</x:v>
      </x:c>
      <x:c r="F12" s="14" t="n">
        <x:v>480</x:v>
      </x:c>
      <x:c r="G12" s="15" t="n">
        <x:v>0</x:v>
      </x:c>
      <x:c r="H12" s="9" t="n">
        <x:f>E12*F12*(1-G12)</x:f>
        <x:v>480</x:v>
      </x:c>
    </x:row>
    <x:row r="13" ht="26" customHeight="1">
      <x:c r="A13" s="2" t="str">
        <x:v>KFO-012</x:v>
      </x:c>
      <x:c r="B13" s="12" t="n">
        <x:v>46064</x:v>
      </x:c>
      <x:c r="C13" s="2" t="str">
        <x:v>الدمام</x:v>
      </x:c>
      <x:c r="D13" s="2" t="str">
        <x:v>طابعة</x:v>
      </x:c>
      <x:c r="E13" s="13" t="n">
        <x:v>2</x:v>
      </x:c>
      <x:c r="F13" s="14" t="n">
        <x:v>800</x:v>
      </x:c>
      <x:c r="G13" s="15" t="n">
        <x:v>0</x:v>
      </x:c>
      <x:c r="H13" s="9" t="n">
        <x:f>E13*F13*(1-G13)</x:f>
        <x:v>1600</x:v>
      </x:c>
    </x:row>
    <x:row r="14" ht="26" customHeight="1">
      <x:c r="A14" s="2" t="str">
        <x:v>KFO-013</x:v>
      </x:c>
      <x:c r="B14" s="12" t="n">
        <x:v>46067</x:v>
      </x:c>
      <x:c r="C14" s="2" t="str">
        <x:v>الرياض</x:v>
      </x:c>
      <x:c r="D14" s="2" t="str">
        <x:v>طاولة مكتبية</x:v>
      </x:c>
      <x:c r="E14" s="13" t="n">
        <x:v>3</x:v>
      </x:c>
      <x:c r="F14" s="14" t="n">
        <x:v>250</x:v>
      </x:c>
      <x:c r="G14" s="15" t="n">
        <x:v>0.1</x:v>
      </x:c>
      <x:c r="H14" s="9" t="n">
        <x:f>E14*F14*(1-G14)</x:f>
        <x:v>675</x:v>
      </x:c>
    </x:row>
    <x:row r="15" ht="26" customHeight="1">
      <x:c r="A15" s="2" t="str">
        <x:v>KFO-014</x:v>
      </x:c>
      <x:c r="B15" s="12" t="n">
        <x:v>46070</x:v>
      </x:c>
      <x:c r="C15" s="2" t="str">
        <x:v>جدة</x:v>
      </x:c>
      <x:c r="D15" s="2" t="str">
        <x:v>لوحة مفاتيح</x:v>
      </x:c>
      <x:c r="E15" s="13" t="n">
        <x:v>4</x:v>
      </x:c>
      <x:c r="F15" s="14" t="n">
        <x:v>120</x:v>
      </x:c>
      <x:c r="G15" s="15" t="n">
        <x:v>0.05</x:v>
      </x:c>
      <x:c r="H15" s="9" t="n">
        <x:f>E15*F15*(1-G15)</x:f>
        <x:v>456</x:v>
      </x:c>
    </x:row>
    <x:row r="16" ht="26" customHeight="1">
      <x:c r="A16" s="2" t="str">
        <x:v>KFO-015</x:v>
      </x:c>
      <x:c r="B16" s="12" t="n">
        <x:v>46073</x:v>
      </x:c>
      <x:c r="C16" s="2" t="str">
        <x:v>الدمام</x:v>
      </x:c>
      <x:c r="D16" s="2" t="str">
        <x:v>شاشة</x:v>
      </x:c>
      <x:c r="E16" s="13" t="n">
        <x:v>5</x:v>
      </x:c>
      <x:c r="F16" s="14" t="n">
        <x:v>480</x:v>
      </x:c>
      <x:c r="G16" s="15" t="n">
        <x:v>0</x:v>
      </x:c>
      <x:c r="H16" s="9" t="n">
        <x:f>E16*F16*(1-G16)</x:f>
        <x:v>2400</x:v>
      </x:c>
    </x:row>
    <x:row r="17" ht="26" customHeight="1">
      <x:c r="A17" s="2" t="str">
        <x:v>KFO-016</x:v>
      </x:c>
      <x:c r="B17" s="12" t="n">
        <x:v>46076</x:v>
      </x:c>
      <x:c r="C17" s="2" t="str">
        <x:v>الرياض</x:v>
      </x:c>
      <x:c r="D17" s="2" t="str">
        <x:v>طابعة</x:v>
      </x:c>
      <x:c r="E17" s="13" t="n">
        <x:v>1</x:v>
      </x:c>
      <x:c r="F17" s="14" t="n">
        <x:v>800</x:v>
      </x:c>
      <x:c r="G17" s="15" t="n">
        <x:v>0</x:v>
      </x:c>
      <x:c r="H17" s="9" t="n">
        <x:f>E17*F17*(1-G17)</x:f>
        <x:v>800</x:v>
      </x:c>
    </x:row>
    <x:row r="18" ht="26" customHeight="1">
      <x:c r="A18" s="2" t="str">
        <x:v>KFO-017</x:v>
      </x:c>
      <x:c r="B18" s="12" t="n">
        <x:v>46083</x:v>
      </x:c>
      <x:c r="C18" s="2" t="str">
        <x:v>جدة</x:v>
      </x:c>
      <x:c r="D18" s="2" t="str">
        <x:v>طاولة مكتبية</x:v>
      </x:c>
      <x:c r="E18" s="13" t="n">
        <x:v>2</x:v>
      </x:c>
      <x:c r="F18" s="14" t="n">
        <x:v>250</x:v>
      </x:c>
      <x:c r="G18" s="15" t="n">
        <x:v>0.1</x:v>
      </x:c>
      <x:c r="H18" s="9" t="n">
        <x:f>E18*F18*(1-G18)</x:f>
        <x:v>450</x:v>
      </x:c>
    </x:row>
    <x:row r="19" ht="26" customHeight="1">
      <x:c r="A19" s="2" t="str">
        <x:v>KFO-018</x:v>
      </x:c>
      <x:c r="B19" s="12" t="n">
        <x:v>46086</x:v>
      </x:c>
      <x:c r="C19" s="2" t="str">
        <x:v>الدمام</x:v>
      </x:c>
      <x:c r="D19" s="2" t="str">
        <x:v>لوحة مفاتيح</x:v>
      </x:c>
      <x:c r="E19" s="13" t="n">
        <x:v>3</x:v>
      </x:c>
      <x:c r="F19" s="14" t="n">
        <x:v>120</x:v>
      </x:c>
      <x:c r="G19" s="15" t="n">
        <x:v>0.05</x:v>
      </x:c>
      <x:c r="H19" s="9" t="n">
        <x:f>E19*F19*(1-G19)</x:f>
        <x:v>342</x:v>
      </x:c>
    </x:row>
    <x:row r="20" ht="26" customHeight="1">
      <x:c r="A20" s="2" t="str">
        <x:v>KFO-019</x:v>
      </x:c>
      <x:c r="B20" s="12" t="n">
        <x:v>46089</x:v>
      </x:c>
      <x:c r="C20" s="2" t="str">
        <x:v>الرياض</x:v>
      </x:c>
      <x:c r="D20" s="2" t="str">
        <x:v>شاشة</x:v>
      </x:c>
      <x:c r="E20" s="13" t="n">
        <x:v>4</x:v>
      </x:c>
      <x:c r="F20" s="14" t="n">
        <x:v>480</x:v>
      </x:c>
      <x:c r="G20" s="15" t="n">
        <x:v>0</x:v>
      </x:c>
      <x:c r="H20" s="9" t="n">
        <x:f>E20*F20*(1-G20)</x:f>
        <x:v>1920</x:v>
      </x:c>
    </x:row>
    <x:row r="21" ht="26" customHeight="1">
      <x:c r="A21" s="2" t="str">
        <x:v>KFO-020</x:v>
      </x:c>
      <x:c r="B21" s="12" t="n">
        <x:v>46092</x:v>
      </x:c>
      <x:c r="C21" s="2" t="str">
        <x:v>جدة</x:v>
      </x:c>
      <x:c r="D21" s="2" t="str">
        <x:v>طابعة</x:v>
      </x:c>
      <x:c r="E21" s="13" t="n">
        <x:v>5</x:v>
      </x:c>
      <x:c r="F21" s="14" t="n">
        <x:v>800</x:v>
      </x:c>
      <x:c r="G21" s="15" t="n">
        <x:v>0</x:v>
      </x:c>
      <x:c r="H21" s="9" t="n">
        <x:f>E21*F21*(1-G21)</x:f>
        <x:v>4000</x:v>
      </x:c>
    </x:row>
    <x:row r="22" ht="26" customHeight="1">
      <x:c r="A22" s="2" t="str">
        <x:v>KFO-021</x:v>
      </x:c>
      <x:c r="B22" s="12" t="n">
        <x:v>46095</x:v>
      </x:c>
      <x:c r="C22" s="2" t="str">
        <x:v>الدمام</x:v>
      </x:c>
      <x:c r="D22" s="2" t="str">
        <x:v>طاولة مكتبية</x:v>
      </x:c>
      <x:c r="E22" s="13" t="n">
        <x:v>1</x:v>
      </x:c>
      <x:c r="F22" s="14" t="n">
        <x:v>250</x:v>
      </x:c>
      <x:c r="G22" s="15" t="n">
        <x:v>0.1</x:v>
      </x:c>
      <x:c r="H22" s="9" t="n">
        <x:f>E22*F22*(1-G22)</x:f>
        <x:v>225</x:v>
      </x:c>
    </x:row>
    <x:row r="23" ht="26" customHeight="1">
      <x:c r="A23" s="2" t="str">
        <x:v>KFO-022</x:v>
      </x:c>
      <x:c r="B23" s="12" t="n">
        <x:v>46098</x:v>
      </x:c>
      <x:c r="C23" s="2" t="str">
        <x:v>الرياض</x:v>
      </x:c>
      <x:c r="D23" s="2" t="str">
        <x:v>لوحة مفاتيح</x:v>
      </x:c>
      <x:c r="E23" s="13" t="n">
        <x:v>2</x:v>
      </x:c>
      <x:c r="F23" s="14" t="n">
        <x:v>120</x:v>
      </x:c>
      <x:c r="G23" s="15" t="n">
        <x:v>0.05</x:v>
      </x:c>
      <x:c r="H23" s="9" t="n">
        <x:f>E23*F23*(1-G23)</x:f>
        <x:v>228</x:v>
      </x:c>
    </x:row>
    <x:row r="24" ht="26" customHeight="1">
      <x:c r="A24" s="2" t="str">
        <x:v>KFO-023</x:v>
      </x:c>
      <x:c r="B24" s="12" t="n">
        <x:v>46101</x:v>
      </x:c>
      <x:c r="C24" s="2" t="str">
        <x:v>جدة</x:v>
      </x:c>
      <x:c r="D24" s="2" t="str">
        <x:v>شاشة</x:v>
      </x:c>
      <x:c r="E24" s="13" t="n">
        <x:v>3</x:v>
      </x:c>
      <x:c r="F24" s="14" t="n">
        <x:v>480</x:v>
      </x:c>
      <x:c r="G24" s="15" t="n">
        <x:v>0</x:v>
      </x:c>
      <x:c r="H24" s="9" t="n">
        <x:f>E24*F24*(1-G24)</x:f>
        <x:v>1440</x:v>
      </x:c>
    </x:row>
    <x:row r="25" ht="26" customHeight="1">
      <x:c r="A25" s="2" t="str">
        <x:v>KFO-024</x:v>
      </x:c>
      <x:c r="B25" s="12" t="n">
        <x:v>46104</x:v>
      </x:c>
      <x:c r="C25" s="2" t="str">
        <x:v>الدمام</x:v>
      </x:c>
      <x:c r="D25" s="2" t="str">
        <x:v>طابعة</x:v>
      </x:c>
      <x:c r="E25" s="13" t="n">
        <x:v>4</x:v>
      </x:c>
      <x:c r="F25" s="14" t="n">
        <x:v>800</x:v>
      </x:c>
      <x:c r="G25" s="15" t="n">
        <x:v>0</x:v>
      </x:c>
      <x:c r="H25" s="9" t="n">
        <x:f>E25*F25*(1-G25)</x:f>
        <x:v>3200</x:v>
      </x:c>
    </x:row>
    <x:row r="26" ht="26" customHeight="1">
      <x:c r="A26" s="2"/>
      <x:c r="B26" s="2"/>
      <x:c r="C26" s="2"/>
      <x:c r="D26" s="2"/>
      <x:c r="E26" s="2"/>
      <x:c r="F26" s="2"/>
      <x:c r="G26" s="2"/>
      <x:c r="H26" s="2"/>
    </x:row>
    <x:row r="27" ht="26" customHeight="1">
      <x:c r="A27" s="2"/>
      <x:c r="B27" s="2"/>
      <x:c r="C27" s="2"/>
      <x:c r="D27" s="2"/>
      <x:c r="E27" s="2"/>
      <x:c r="F27" s="2"/>
      <x:c r="G27" s="2"/>
      <x:c r="H27" s="2"/>
    </x:row>
    <x:row r="28" ht="26" customHeight="1">
      <x:c r="A28" s="2"/>
      <x:c r="B28" s="2"/>
      <x:c r="C28" s="2"/>
      <x:c r="D28" s="2"/>
      <x:c r="E28" s="2"/>
      <x:c r="F28" s="2"/>
      <x:c r="G28" s="2"/>
      <x:c r="H28" s="2"/>
    </x:row>
    <x:row r="29" ht="26" customHeight="1">
      <x:c r="A29" s="2"/>
      <x:c r="B29" s="2"/>
      <x:c r="C29" s="2"/>
      <x:c r="D29" s="2"/>
      <x:c r="E29" s="2"/>
      <x:c r="F29" s="2"/>
      <x:c r="G29" s="2"/>
      <x:c r="H29" s="2"/>
    </x:row>
    <x:row r="30" ht="26" customHeight="1">
      <x:c r="A30" s="2"/>
      <x:c r="B30" s="2"/>
      <x:c r="C30" s="2"/>
      <x:c r="D30" s="2"/>
      <x:c r="E30" s="2"/>
      <x:c r="F30" s="2"/>
      <x:c r="G30" s="2"/>
      <x:c r="H30" s="2"/>
    </x:row>
    <x:row r="31" ht="26" customHeight="1">
      <x:c r="A31" s="2"/>
      <x:c r="B31" s="2"/>
      <x:c r="C31" s="2"/>
      <x:c r="D31" s="2"/>
      <x:c r="E31" s="2"/>
      <x:c r="F31" s="2"/>
      <x:c r="G31" s="2"/>
      <x:c r="H31" s="2"/>
    </x:row>
    <x:row r="32" ht="26" customHeight="1">
      <x:c r="A32" s="2"/>
      <x:c r="B32" s="2"/>
      <x:c r="C32" s="2"/>
      <x:c r="D32" s="2"/>
      <x:c r="E32" s="2"/>
      <x:c r="F32" s="2"/>
      <x:c r="G32" s="2"/>
      <x:c r="H32" s="2"/>
    </x:row>
    <x:row r="33" ht="26" customHeight="1">
      <x:c r="A33" s="2"/>
      <x:c r="B33" s="2"/>
      <x:c r="C33" s="2"/>
      <x:c r="D33" s="2"/>
      <x:c r="E33" s="2"/>
      <x:c r="F33" s="2"/>
      <x:c r="G33" s="2"/>
      <x:c r="H33" s="2"/>
    </x:row>
    <x:row r="34" ht="26" customHeight="1">
      <x:c r="A34" s="2"/>
      <x:c r="B34" s="2"/>
      <x:c r="C34" s="2"/>
      <x:c r="D34" s="2"/>
      <x:c r="E34" s="2"/>
      <x:c r="F34" s="2"/>
      <x:c r="G34" s="2"/>
      <x:c r="H34" s="2"/>
    </x:row>
    <x:row r="35" ht="26" customHeight="1">
      <x:c r="A35" s="2"/>
      <x:c r="B35" s="2"/>
      <x:c r="C35" s="2"/>
      <x:c r="D35" s="2"/>
      <x:c r="E35" s="2"/>
      <x:c r="F35" s="2"/>
      <x:c r="G35" s="2"/>
      <x:c r="H35" s="2"/>
    </x:row>
  </x:sheetData>
  <x:pageMargins left="0.7" right="0.7" top="0.75" bottom="0.75" header="0.3" footer="0.3"/>
  <x:tableParts count="1">
    <x:tablePart xmlns:r="http://schemas.openxmlformats.org/officeDocument/2006/relationships" r:id="Rbec73e0e13e445a4"/>
  </x:tableParts>
</x:worksheet>
</file>